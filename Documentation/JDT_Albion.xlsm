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j12iyx\Desktop\albion-106-main\Documentation\"/>
    </mc:Choice>
  </mc:AlternateContent>
  <xr:revisionPtr revIDLastSave="0" documentId="13_ncr:1_{0CC93FCC-F82F-4784-AC1C-D82FDE71E07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JNLTRAV" sheetId="157" r:id="rId2"/>
    <sheet name="Diagramme" sheetId="155" r:id="rId3"/>
    <sheet name="DiagramHeader" sheetId="10" state="hidden" r:id="rId4"/>
    <sheet name="DiagramFooter" sheetId="130" state="hidden" r:id="rId5"/>
    <sheet name="PlanificationWeek" sheetId="11" state="hidden" r:id="rId6"/>
    <sheet name="achievementWeek" sheetId="154" state="hidden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6">achievementWeek!$A$1:$D$19</definedName>
    <definedName name="objRealizedWeek" localSheetId="1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7" l="1"/>
  <c r="D96" i="157"/>
  <c r="D77" i="157"/>
  <c r="D58" i="157"/>
  <c r="D39" i="157"/>
  <c r="D20" i="157"/>
  <c r="D1" i="157"/>
  <c r="B132" i="157"/>
  <c r="B113" i="157"/>
  <c r="B94" i="157"/>
  <c r="B75" i="157"/>
  <c r="B56" i="157"/>
  <c r="B37" i="157"/>
  <c r="B18" i="157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<sst xmlns="http://schemas.openxmlformats.org/spreadsheetml/2006/main" count="174" uniqueCount="83">
  <si>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</si>
  <si>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</si>
  <si>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</si>
  <si>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</si>
  <si>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</si>
  <si>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</si>
  <si>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</si>
  <si>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</si>
  <si>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</si>
  <si>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</si>
  <si>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</si>
  <si>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</si>
  <si>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</si>
  <si>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</si>
  <si>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</si>
  <si>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</si>
  <si>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</si>
  <si>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</si>
  <si>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</si>
  <si>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</si>
  <si>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</si>
  <si>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</si>
  <si>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</si>
  <si>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</si>
  <si>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Looping</t>
  </si>
  <si>
    <t>SQL</t>
  </si>
  <si>
    <t>Rapport</t>
  </si>
  <si>
    <t>JDT</t>
  </si>
  <si>
    <t>autre</t>
  </si>
  <si>
    <t>Albion Bllaca</t>
  </si>
  <si>
    <t>CIN2A</t>
  </si>
  <si>
    <t>Lausanne, Venne</t>
  </si>
  <si>
    <t>S 1</t>
  </si>
  <si>
    <t>S 2</t>
  </si>
  <si>
    <t>S 3</t>
  </si>
  <si>
    <t>S 4</t>
  </si>
  <si>
    <t>S 5</t>
  </si>
  <si>
    <t>S 6</t>
  </si>
  <si>
    <t>S 7</t>
  </si>
  <si>
    <t>Max. 12</t>
  </si>
  <si>
    <t>STOP</t>
  </si>
  <si>
    <t>modélisation de la base de donnée</t>
  </si>
  <si>
    <t>Lecture du achier des charges</t>
  </si>
  <si>
    <t>création de la base physiquement, création et insertion des données dans la base.</t>
  </si>
  <si>
    <t>suppresion, creation de la base de donnée et insertion des donnée pour capture d'écrans</t>
  </si>
  <si>
    <t>creation utilisateur admin, joueur avec script</t>
  </si>
  <si>
    <t>rapport</t>
  </si>
  <si>
    <t>recherche de la numérotation des titres</t>
  </si>
  <si>
    <t>création du nouveau rapport avec un nouveau modèle</t>
  </si>
  <si>
    <t>SQL/Rapport</t>
  </si>
  <si>
    <t>absent</t>
  </si>
  <si>
    <t>évlauation</t>
  </si>
  <si>
    <t>analyse du projet par le prof + liste des changement necassaire</t>
  </si>
  <si>
    <t>modification de la base de donnée pour etre conforme au normes de codage</t>
  </si>
  <si>
    <t>recherche d'outils et tentative de recréation de données pour la base, plus précisément de la table des joueurs</t>
  </si>
  <si>
    <t>insertinto.sql</t>
  </si>
  <si>
    <t>BDD.lo</t>
  </si>
  <si>
    <t>feuille d'évaluation</t>
  </si>
  <si>
    <t>suppression des captures d'écran du rapport, ajout de la description, ajout de screen pour les tables</t>
  </si>
  <si>
    <t>RDV avec C.Schafter</t>
  </si>
  <si>
    <t>repertoire</t>
  </si>
  <si>
    <t>modification du répértoire de stockage des fichier, pour le rendre plus intutif</t>
  </si>
  <si>
    <t>Github</t>
  </si>
  <si>
    <t>Rapport_albion.docx</t>
  </si>
  <si>
    <t>CDC Projet 106</t>
  </si>
  <si>
    <t>BDD.loo</t>
  </si>
  <si>
    <t>SpacyInvader</t>
  </si>
  <si>
    <t>jdt</t>
  </si>
  <si>
    <t>Rapport_Albion.docx</t>
  </si>
  <si>
    <t>conteneur mysql</t>
  </si>
  <si>
    <t>cours théorique</t>
  </si>
  <si>
    <t>révision test théorique</t>
  </si>
  <si>
    <t>Max. 25</t>
  </si>
  <si>
    <t>creation du nouveaux rapport, documentation du mcd, documentation des insert into, documentation des requetes, documentation de la creation de la creation des users, documentation index, documentation backup / restore</t>
  </si>
  <si>
    <t xml:space="preserve">correction de données, creation de nouvelles donnée pour en avoir minimum 50 par tables, modification du fichier des données pour qu'il soient adapté a la nouvelle base de donné </t>
  </si>
  <si>
    <t>requetes demandées dans le cdc, test des requetes, correction et finalisation</t>
  </si>
  <si>
    <t>création des users avec script</t>
  </si>
  <si>
    <t>backup / restore</t>
  </si>
  <si>
    <t>amelioration repertoire github</t>
  </si>
  <si>
    <t>requetes.sql</t>
  </si>
  <si>
    <t>Create_User.sql</t>
  </si>
  <si>
    <t>data_SpaceInvaders.sql</t>
  </si>
  <si>
    <t>Data_SpaceInvaders.sql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</si>
</sst>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5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E13" sqref="E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106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31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2B3EF-F6E9-44BD-931B-B62EAC070A62}">
  <sheetPr codeName="Feuil9"/>
  <dimension ref="A1:I134"/>
  <sheetViews>
    <sheetView tabSelected="1" topLeftCell="B23" zoomScale="85" zoomScaleNormal="85" workbookViewId="0">
      <selection activeCell="D23" sqref="D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114" t="s">
        <v>28</v>
      </c>
      <c r="B3" s="4">
        <v>1</v>
      </c>
      <c r="C3" s="112" t="s">
        <v>42</v>
      </c>
      <c r="D3" s="112" t="s">
        <v>64</v>
      </c>
    </row>
    <row r="4" spans="1:4" s="53" customFormat="1" x14ac:dyDescent="0.25">
      <c r="A4" s="1" t="s">
        <v>24</v>
      </c>
      <c r="B4" s="2">
        <v>3</v>
      </c>
      <c r="C4" s="113" t="s">
        <v>41</v>
      </c>
      <c r="D4" s="113" t="s">
        <v>65</v>
      </c>
    </row>
    <row r="5" spans="1:4" s="53" customFormat="1" x14ac:dyDescent="0.25">
      <c r="A5" s="1" t="s">
        <v>25</v>
      </c>
      <c r="B5" s="2">
        <v>1</v>
      </c>
      <c r="C5" s="113" t="s">
        <v>43</v>
      </c>
      <c r="D5" s="113" t="s">
        <v>66</v>
      </c>
    </row>
    <row r="6" spans="1:4" s="53" customFormat="1" x14ac:dyDescent="0.25">
      <c r="A6" s="1" t="s">
        <v>27</v>
      </c>
      <c r="B6" s="2">
        <v>1</v>
      </c>
      <c r="C6" s="113" t="s">
        <v>67</v>
      </c>
      <c r="D6" s="113" t="s">
        <v>67</v>
      </c>
    </row>
    <row r="7" spans="1:4" s="53" customFormat="1" x14ac:dyDescent="0.25">
      <c r="A7" s="115" t="s">
        <v>50</v>
      </c>
      <c r="B7" s="2">
        <v>6</v>
      </c>
      <c r="C7" s="113" t="s">
        <v>50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1" t="s">
        <v>39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114" t="s">
        <v>49</v>
      </c>
      <c r="B22" s="4">
        <v>2</v>
      </c>
      <c r="C22" s="112" t="s">
        <v>44</v>
      </c>
      <c r="D22" s="112" t="s">
        <v>69</v>
      </c>
    </row>
    <row r="23" spans="1:9" x14ac:dyDescent="0.25">
      <c r="A23" s="1" t="s">
        <v>25</v>
      </c>
      <c r="B23" s="2">
        <v>2</v>
      </c>
      <c r="C23" s="113" t="s">
        <v>45</v>
      </c>
      <c r="D23" s="113" t="s">
        <v>81</v>
      </c>
    </row>
    <row r="24" spans="1:9" x14ac:dyDescent="0.25">
      <c r="A24" s="1" t="s">
        <v>26</v>
      </c>
      <c r="B24" s="2">
        <v>1</v>
      </c>
      <c r="C24" s="113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27</v>
      </c>
      <c r="B25" s="2">
        <v>1</v>
      </c>
      <c r="C25" s="113" t="s">
        <v>27</v>
      </c>
      <c r="D25" s="10"/>
      <c r="E25" s="20"/>
      <c r="F25" s="32"/>
      <c r="G25" s="33"/>
      <c r="H25" s="34"/>
      <c r="I25" s="20"/>
    </row>
    <row r="26" spans="1:9" ht="15" x14ac:dyDescent="0.25">
      <c r="A26" s="115" t="s">
        <v>50</v>
      </c>
      <c r="B26" s="2">
        <v>6</v>
      </c>
      <c r="C26" s="113" t="s">
        <v>50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1" t="s">
        <v>39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14.25" thickBot="1" x14ac:dyDescent="0.3">
      <c r="A41" s="5" t="s">
        <v>26</v>
      </c>
      <c r="B41" s="4">
        <v>4</v>
      </c>
      <c r="C41" s="112" t="s">
        <v>47</v>
      </c>
      <c r="D41" s="112" t="s">
        <v>68</v>
      </c>
    </row>
    <row r="42" spans="1:9" x14ac:dyDescent="0.25">
      <c r="A42" s="1" t="s">
        <v>26</v>
      </c>
      <c r="B42" s="2">
        <v>1</v>
      </c>
      <c r="C42" s="113" t="s">
        <v>48</v>
      </c>
      <c r="D42" s="112" t="s">
        <v>68</v>
      </c>
    </row>
    <row r="43" spans="1:9" x14ac:dyDescent="0.25">
      <c r="A43" s="115" t="s">
        <v>50</v>
      </c>
      <c r="B43" s="2">
        <v>6</v>
      </c>
      <c r="C43" s="113" t="s">
        <v>50</v>
      </c>
      <c r="D43" s="10"/>
    </row>
    <row r="44" spans="1:9" x14ac:dyDescent="0.25">
      <c r="A44" s="1"/>
      <c r="B44" s="2">
        <v>1</v>
      </c>
      <c r="C44" s="113" t="s">
        <v>67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1" t="s">
        <v>39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>
        <v>12</v>
      </c>
      <c r="C60" s="112" t="s">
        <v>70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1" t="s">
        <v>39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>
        <v>12</v>
      </c>
      <c r="C79" s="112" t="s">
        <v>71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1" t="s">
        <v>39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114" t="s">
        <v>51</v>
      </c>
      <c r="B98" s="4">
        <v>3</v>
      </c>
      <c r="C98" s="112" t="s">
        <v>52</v>
      </c>
      <c r="D98" s="112" t="s">
        <v>57</v>
      </c>
    </row>
    <row r="99" spans="1:4" x14ac:dyDescent="0.25">
      <c r="A99" s="115" t="s">
        <v>25</v>
      </c>
      <c r="B99" s="2">
        <v>1</v>
      </c>
      <c r="C99" s="113" t="s">
        <v>53</v>
      </c>
      <c r="D99" s="113" t="s">
        <v>56</v>
      </c>
    </row>
    <row r="100" spans="1:4" ht="27" x14ac:dyDescent="0.25">
      <c r="A100" s="115" t="s">
        <v>25</v>
      </c>
      <c r="B100" s="2">
        <v>3</v>
      </c>
      <c r="C100" s="113" t="s">
        <v>54</v>
      </c>
      <c r="D100" s="113" t="s">
        <v>55</v>
      </c>
    </row>
    <row r="101" spans="1:4" ht="27" x14ac:dyDescent="0.25">
      <c r="A101" s="115" t="s">
        <v>26</v>
      </c>
      <c r="B101" s="2">
        <v>3</v>
      </c>
      <c r="C101" s="113" t="s">
        <v>58</v>
      </c>
      <c r="D101" s="113" t="s">
        <v>63</v>
      </c>
    </row>
    <row r="102" spans="1:4" x14ac:dyDescent="0.25">
      <c r="A102" s="115" t="s">
        <v>59</v>
      </c>
      <c r="B102" s="2"/>
      <c r="C102" s="113"/>
      <c r="D102" s="10"/>
    </row>
    <row r="103" spans="1:4" x14ac:dyDescent="0.25">
      <c r="A103" s="115" t="s">
        <v>60</v>
      </c>
      <c r="B103" s="2">
        <v>1</v>
      </c>
      <c r="C103" s="113" t="s">
        <v>61</v>
      </c>
      <c r="D103" s="113" t="s">
        <v>62</v>
      </c>
    </row>
    <row r="104" spans="1:4" x14ac:dyDescent="0.25">
      <c r="A104" s="115" t="s">
        <v>27</v>
      </c>
      <c r="B104" s="2">
        <v>1</v>
      </c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1" t="s">
        <v>39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40.5" x14ac:dyDescent="0.25">
      <c r="A117" s="5"/>
      <c r="B117" s="4">
        <v>10</v>
      </c>
      <c r="C117" s="112" t="s">
        <v>73</v>
      </c>
      <c r="D117" s="112" t="s">
        <v>68</v>
      </c>
    </row>
    <row r="118" spans="1:4" ht="40.5" x14ac:dyDescent="0.25">
      <c r="A118" s="1"/>
      <c r="B118" s="2">
        <v>3</v>
      </c>
      <c r="C118" s="113" t="s">
        <v>74</v>
      </c>
      <c r="D118" s="113" t="s">
        <v>82</v>
      </c>
    </row>
    <row r="119" spans="1:4" x14ac:dyDescent="0.25">
      <c r="A119" s="1"/>
      <c r="B119" s="2">
        <v>6</v>
      </c>
      <c r="C119" s="113" t="s">
        <v>75</v>
      </c>
      <c r="D119" s="113" t="s">
        <v>79</v>
      </c>
    </row>
    <row r="120" spans="1:4" ht="14.25" thickBot="1" x14ac:dyDescent="0.3">
      <c r="A120" s="1"/>
      <c r="B120" s="2">
        <v>3</v>
      </c>
      <c r="C120" s="113" t="s">
        <v>76</v>
      </c>
      <c r="D120" s="10" t="s">
        <v>80</v>
      </c>
    </row>
    <row r="121" spans="1:4" x14ac:dyDescent="0.25">
      <c r="A121" s="1"/>
      <c r="B121" s="2">
        <v>1</v>
      </c>
      <c r="C121" s="113" t="s">
        <v>77</v>
      </c>
      <c r="D121" s="112" t="s">
        <v>68</v>
      </c>
    </row>
    <row r="122" spans="1:4" x14ac:dyDescent="0.25">
      <c r="A122" s="1"/>
      <c r="B122" s="2">
        <v>1</v>
      </c>
      <c r="C122" s="113" t="s">
        <v>67</v>
      </c>
      <c r="D122" s="10"/>
    </row>
    <row r="123" spans="1:4" x14ac:dyDescent="0.25">
      <c r="A123" s="1"/>
      <c r="B123" s="2">
        <v>1</v>
      </c>
      <c r="C123" s="113" t="s">
        <v>78</v>
      </c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25</v>
      </c>
      <c r="C132" s="111" t="s">
        <v>72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110" t="s">
        <v>40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4FECC7C-55C6-436C-81CE-9166CDC13AE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C65E5647-5D17-45FF-AE62-08034335216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A3D0F7BB-4B6B-4EDF-A874-3324AA29D458}">
      <formula1>0</formula1>
      <formula2>NbPerWeek * NbQuartPer</formula2>
    </dataValidation>
    <dataValidation type="list" allowBlank="1" showInputMessage="1" showErrorMessage="1" sqref="A3:A17 A22:A36 A41:A55 A60:A74 A79:A93 A98:A112 A117:A131" xr:uid="{FA015AFC-2DCC-44F9-946D-767556654D4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91DA4-57F5-4FE4-AC6A-3160C87F1DA2}">
  <sheetPr codeName="Feuil7"/>
  <dimension ref="A1:CI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87" ht="14.25" thickBot="1" x14ac:dyDescent="0.3">
      <c r="B1" s="89"/>
      <c r="C1" s="89"/>
    </row>
    <row r="2" spans="1:87" ht="42.75" customHeight="1" thickBot="1" x14ac:dyDescent="0.3">
      <c r="A2" s="90"/>
      <c r="B2" s="23" t="s">
        <v>5</v>
      </c>
      <c r="C2" s="15" t="s">
        <v>18</v>
      </c>
      <c r="D2" s="118" t="s">
        <v>32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33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34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35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36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37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38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</row>
    <row r="3" spans="1:87" ht="19.5" customHeight="1" x14ac:dyDescent="0.25">
      <c r="A3" s="90"/>
      <c r="B3" s="123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</row>
    <row r="4" spans="1:87" ht="19.5" customHeight="1" thickBot="1" x14ac:dyDescent="0.3">
      <c r="A4" s="90"/>
      <c r="B4" s="124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</row>
    <row r="5" spans="1:87" ht="19.5" customHeight="1" x14ac:dyDescent="0.25">
      <c r="B5" s="125" t="str">
        <f>Donnees!$C$21</f>
        <v>Looping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</row>
    <row r="6" spans="1:87" ht="19.5" customHeight="1" thickBot="1" x14ac:dyDescent="0.3">
      <c r="B6" s="122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</row>
    <row r="7" spans="1:87" ht="19.5" customHeight="1" x14ac:dyDescent="0.25">
      <c r="B7" s="121" t="str">
        <f>Donnees!$C$22</f>
        <v>SQL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</row>
    <row r="8" spans="1:87" ht="19.5" customHeight="1" thickBot="1" x14ac:dyDescent="0.3">
      <c r="B8" s="122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</row>
    <row r="9" spans="1:87" ht="19.5" customHeight="1" x14ac:dyDescent="0.25">
      <c r="B9" s="121" t="str">
        <f>Donnees!$C$23</f>
        <v>Rapport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</row>
    <row r="10" spans="1:87" ht="19.5" customHeight="1" thickBot="1" x14ac:dyDescent="0.3">
      <c r="B10" s="122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</row>
    <row r="11" spans="1:87" ht="19.5" customHeight="1" x14ac:dyDescent="0.25">
      <c r="B11" s="121" t="str">
        <f>Donnees!$C$24</f>
        <v>JDT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</row>
    <row r="12" spans="1:87" ht="19.5" customHeight="1" thickBot="1" x14ac:dyDescent="0.3">
      <c r="B12" s="122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</row>
    <row r="13" spans="1:87" ht="19.5" customHeight="1" x14ac:dyDescent="0.25">
      <c r="B13" s="121" t="str">
        <f>Donnees!$C$25</f>
        <v>autre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</row>
    <row r="14" spans="1:87" ht="19.5" customHeight="1" x14ac:dyDescent="0.25">
      <c r="B14" s="122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</row>
    <row r="15" spans="1:87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</row>
    <row r="16" spans="1:87" ht="19.5" customHeight="1" thickBot="1" x14ac:dyDescent="0.3">
      <c r="A16" s="106"/>
      <c r="B16" s="26" t="s">
        <v>17</v>
      </c>
      <c r="C16" s="28">
        <f>SUM($C$4,$C$6,$C$8,$C$10,$C$12,$C$14)</f>
        <v>0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</row>
  </sheetData>
  <sheetProtection sheet="1" objects="1" scenarios="1" insertRows="0" selectLockedCells="1"/>
  <mergeCells count="13">
    <mergeCell ref="B13:B14"/>
    <mergeCell ref="B3:B4"/>
    <mergeCell ref="B5:B6"/>
    <mergeCell ref="B7:B8"/>
    <mergeCell ref="B9:B10"/>
    <mergeCell ref="B11:B12"/>
    <mergeCell ref="BX2:CI2"/>
    <mergeCell ref="D2:O2"/>
    <mergeCell ref="P2:AA2"/>
    <mergeCell ref="AB2:AM2"/>
    <mergeCell ref="AN2:AY2"/>
    <mergeCell ref="AZ2:BK2"/>
    <mergeCell ref="BL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A9BB5900-6BEF-4097-B98B-41B3DBEFD7BE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3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JNLTRAV</vt:lpstr>
      <vt:lpstr>Diagramme</vt:lpstr>
      <vt:lpstr>DiagramHeader</vt:lpstr>
      <vt:lpstr>DiagramFooter</vt:lpstr>
      <vt:lpstr>PlanificationWeek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Albion Bllaca</dc:creator>
  <cp:lastModifiedBy>Albion Bllaca</cp:lastModifiedBy>
  <cp:lastPrinted>2013-08-29T11:33:15Z</cp:lastPrinted>
  <dcterms:created xsi:type="dcterms:W3CDTF">1996-10-21T11:03:58Z</dcterms:created>
  <dcterms:modified xsi:type="dcterms:W3CDTF">2025-01-08T07:40:01Z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